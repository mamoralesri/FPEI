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unicordoba/Documents/Cursos/FPEI/2026-2/"/>
    </mc:Choice>
  </mc:AlternateContent>
  <xr:revisionPtr revIDLastSave="0" documentId="13_ncr:1_{EB049010-38A5-2C4D-9590-33807C2A440E}" xr6:coauthVersionLast="47" xr6:coauthVersionMax="47" xr10:uidLastSave="{00000000-0000-0000-0000-000000000000}"/>
  <bookViews>
    <workbookView xWindow="0" yWindow="600" windowWidth="28800" windowHeight="15840" xr2:uid="{00000000-000D-0000-FFFF-FFFF00000000}"/>
  </bookViews>
  <sheets>
    <sheet name="Califica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13" i="1"/>
  <c r="I14" i="1"/>
  <c r="I15" i="1"/>
  <c r="I16" i="1"/>
  <c r="I17" i="1"/>
  <c r="I19" i="1"/>
  <c r="I20" i="1"/>
  <c r="I21" i="1"/>
  <c r="I22" i="1"/>
  <c r="I23" i="1"/>
  <c r="I24" i="1"/>
  <c r="I26" i="1"/>
  <c r="I27" i="1"/>
  <c r="I28" i="1"/>
  <c r="I29" i="1"/>
  <c r="I31" i="1"/>
  <c r="I32" i="1"/>
  <c r="I33" i="1"/>
  <c r="I34" i="1"/>
  <c r="I35" i="1"/>
  <c r="I38" i="1"/>
  <c r="I39" i="1"/>
  <c r="I40" i="1"/>
  <c r="I41" i="1"/>
  <c r="I42" i="1"/>
  <c r="I43" i="1"/>
  <c r="I44" i="1"/>
  <c r="I45" i="1"/>
  <c r="I46" i="1"/>
  <c r="I47" i="1"/>
  <c r="I48" i="1"/>
  <c r="I50" i="1"/>
  <c r="I51" i="1"/>
  <c r="I52" i="1"/>
  <c r="I53" i="1"/>
  <c r="I9" i="1"/>
  <c r="I10" i="1"/>
  <c r="I11" i="1"/>
  <c r="I12" i="1"/>
  <c r="H43" i="1"/>
  <c r="H53" i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I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I25" i="1" s="1"/>
  <c r="G26" i="1"/>
  <c r="H26" i="1" s="1"/>
  <c r="G27" i="1"/>
  <c r="H27" i="1" s="1"/>
  <c r="G28" i="1"/>
  <c r="H28" i="1" s="1"/>
  <c r="G29" i="1"/>
  <c r="H29" i="1" s="1"/>
  <c r="G30" i="1"/>
  <c r="H30" i="1" s="1"/>
  <c r="I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I36" i="1" s="1"/>
  <c r="G37" i="1"/>
  <c r="H37" i="1" s="1"/>
  <c r="I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I49" i="1" s="1"/>
  <c r="G50" i="1"/>
  <c r="H50" i="1" s="1"/>
  <c r="G51" i="1"/>
  <c r="H51" i="1" s="1"/>
  <c r="G52" i="1"/>
  <c r="H52" i="1" s="1"/>
  <c r="G53" i="1"/>
  <c r="G8" i="1"/>
  <c r="H8" i="1" s="1"/>
  <c r="I54" i="1" l="1"/>
  <c r="J54" i="1" s="1"/>
</calcChain>
</file>

<file path=xl/sharedStrings.xml><?xml version="1.0" encoding="utf-8"?>
<sst xmlns="http://schemas.openxmlformats.org/spreadsheetml/2006/main" count="108" uniqueCount="106">
  <si>
    <t>Nombre</t>
  </si>
  <si>
    <t>Apellido(s)</t>
  </si>
  <si>
    <t>VICTOR MANUEL</t>
  </si>
  <si>
    <t>ACOSTA ANDRADE</t>
  </si>
  <si>
    <t>JORGE ANDRES</t>
  </si>
  <si>
    <t>AGAMEZ FUENTES</t>
  </si>
  <si>
    <t>NATHALIA</t>
  </si>
  <si>
    <t>ALVAREZ GONZALEZ</t>
  </si>
  <si>
    <t>ELIAS JOSE</t>
  </si>
  <si>
    <t>ALVAREZ TORRES</t>
  </si>
  <si>
    <t>LUIS MIGUEL</t>
  </si>
  <si>
    <t>ARGUELLO BARRERA</t>
  </si>
  <si>
    <t>ELHY JOHANA</t>
  </si>
  <si>
    <t>ARGUELLO OZUNA</t>
  </si>
  <si>
    <t>LUISA FERNANDA</t>
  </si>
  <si>
    <t>ARGUMEDO RODRIGUEZ</t>
  </si>
  <si>
    <t>LUZ DAYANIS</t>
  </si>
  <si>
    <t>BARRIENTOS RODRIGUEZ</t>
  </si>
  <si>
    <t>JUAN MANUEL</t>
  </si>
  <si>
    <t>BENITEZ CASTRO</t>
  </si>
  <si>
    <t>VALERIA</t>
  </si>
  <si>
    <t>BERNAL ANICHIARICO</t>
  </si>
  <si>
    <t>LEO LUIS</t>
  </si>
  <si>
    <t>BORJA BAZA</t>
  </si>
  <si>
    <t>JHORDAN DAVID</t>
  </si>
  <si>
    <t>BORJA GUZMAN</t>
  </si>
  <si>
    <t>KATY LLULIE</t>
  </si>
  <si>
    <t>CASTELLANA VASQUEZ</t>
  </si>
  <si>
    <t>JESUS RAFAEL</t>
  </si>
  <si>
    <t>CHICA PADILLA</t>
  </si>
  <si>
    <t>DAIR</t>
  </si>
  <si>
    <t>CHICA PETRO</t>
  </si>
  <si>
    <t>JUAN PABLO</t>
  </si>
  <si>
    <t>CORONEL RAMOS</t>
  </si>
  <si>
    <t>EMMANUEL</t>
  </si>
  <si>
    <t>DIAZ DUMETT</t>
  </si>
  <si>
    <t>DIAZ MENDOZA</t>
  </si>
  <si>
    <t>LUIS DARIO</t>
  </si>
  <si>
    <t>DIAZ PADILLA</t>
  </si>
  <si>
    <t>JUAN RAFAEL</t>
  </si>
  <si>
    <t>DIAZ TORRES</t>
  </si>
  <si>
    <t>SEBASTIAN ANDRES</t>
  </si>
  <si>
    <t>DURANGO GUERRA</t>
  </si>
  <si>
    <t>JOSE ALEJANDRO</t>
  </si>
  <si>
    <t>DURANGO PRADO</t>
  </si>
  <si>
    <t>YEFREY JOSUE</t>
  </si>
  <si>
    <t>ESCALONA MORA</t>
  </si>
  <si>
    <t>SHARI</t>
  </si>
  <si>
    <t>ESPITIA BELTRAN</t>
  </si>
  <si>
    <t>SHAROL MICHAEL</t>
  </si>
  <si>
    <t>FERRER BERTEL</t>
  </si>
  <si>
    <t>JHOJAN</t>
  </si>
  <si>
    <t>GONZALEZ MESTRA</t>
  </si>
  <si>
    <t>NAYERLIS ALEJANDRA</t>
  </si>
  <si>
    <t>HERNANDEZ GUERRA</t>
  </si>
  <si>
    <t>BREINER GUSTAVO</t>
  </si>
  <si>
    <t>HERNANDEZ PAZOS</t>
  </si>
  <si>
    <t>JESUS MANUEL</t>
  </si>
  <si>
    <t>HERRERA ALEMAN</t>
  </si>
  <si>
    <t>IVAN RAMIRO</t>
  </si>
  <si>
    <t>HERRERA VERTEL</t>
  </si>
  <si>
    <t>DORA ISABEL</t>
  </si>
  <si>
    <t>LLORENTE LÓPEZ</t>
  </si>
  <si>
    <t>JUAN DIEGO</t>
  </si>
  <si>
    <t>LÓPEZ BRAN</t>
  </si>
  <si>
    <t>ASLHY MARCELA</t>
  </si>
  <si>
    <t>LUCAS SANCHEZ</t>
  </si>
  <si>
    <t>MARÍA ALEJANDRA</t>
  </si>
  <si>
    <t>MARTÍNEZ MEJÍA</t>
  </si>
  <si>
    <t>MEJIA MANGONES</t>
  </si>
  <si>
    <t>ANGEL DAVID</t>
  </si>
  <si>
    <t>MONTERROZA HERNANDEZ</t>
  </si>
  <si>
    <t>DUVAN JESUS</t>
  </si>
  <si>
    <t>PARRA FERIA</t>
  </si>
  <si>
    <t>TAYMI TATIANA</t>
  </si>
  <si>
    <t>PEREZ BARRIOS</t>
  </si>
  <si>
    <t>ALDAIR</t>
  </si>
  <si>
    <t>REYES ALVAREZ</t>
  </si>
  <si>
    <t>AARON EMILIO</t>
  </si>
  <si>
    <t>RODRIGUEZ RUIZ</t>
  </si>
  <si>
    <t>JUAN JOSE</t>
  </si>
  <si>
    <t>ROJAS NAVARRO</t>
  </si>
  <si>
    <t>JULIANA ANDREA</t>
  </si>
  <si>
    <t>TORDECILLA GARCIA</t>
  </si>
  <si>
    <t>JESUS MIGUEL</t>
  </si>
  <si>
    <t>TORRES BALLESTAS</t>
  </si>
  <si>
    <t>DEINER</t>
  </si>
  <si>
    <t>VERTEL MÓNTES</t>
  </si>
  <si>
    <t>ANDRES DAVID</t>
  </si>
  <si>
    <t>VERTEL OROZCO</t>
  </si>
  <si>
    <t>LORENA</t>
  </si>
  <si>
    <t>VITOLA CARPIO</t>
  </si>
  <si>
    <t>Lectura</t>
  </si>
  <si>
    <t>TalClase</t>
  </si>
  <si>
    <t>Parcial (40%)</t>
  </si>
  <si>
    <t>Eval (30%)</t>
  </si>
  <si>
    <t>Talleres</t>
  </si>
  <si>
    <t>Def</t>
  </si>
  <si>
    <t>FACULTAD DE CIENCIAS BÁSICAS</t>
  </si>
  <si>
    <t>PROGRAMA: ESTADÍSTICA</t>
  </si>
  <si>
    <t>DOCENTE: MARIO ALFONSO MORALES</t>
  </si>
  <si>
    <t>CURSO: 409202 (FPE-I) GRUPO 2</t>
  </si>
  <si>
    <t>NOTAS DEL PRIMER CORTE</t>
  </si>
  <si>
    <t>PERIODO: 2026-2</t>
  </si>
  <si>
    <t xml:space="preserve">Observación 1: La nota de Talleres (30%) es el promedio de la actividad de lectura y el taller hecho en clase  </t>
  </si>
  <si>
    <t xml:space="preserve">Observación 2: El parcial tiene un peso del 40% en la nota del corte, las otras dos, un peso del 30%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</si>
</sst>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dd/mm/yyyy;@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9" xfId="0" applyNumberFormat="1" applyBorder="1"/>
    <xf numFmtId="49" fontId="1" fillId="0" borderId="9" xfId="0" applyNumberFormat="1" applyFont="1" applyBorder="1"/>
    <xf numFmtId="164" fontId="0" fillId="0" borderId="9" xfId="0" applyNumberFormat="1" applyBorder="1"/>
    <xf numFmtId="49" fontId="1" fillId="3" borderId="9" xfId="0" applyNumberFormat="1" applyFont="1" applyFill="1" applyBorder="1"/>
    <xf numFmtId="164" fontId="0" fillId="3" borderId="9" xfId="0" applyNumberFormat="1" applyFill="1" applyBorder="1"/>
    <xf numFmtId="49" fontId="1" fillId="3" borderId="1" xfId="0" applyNumberFormat="1" applyFont="1" applyFill="1" applyBorder="1"/>
    <xf numFmtId="0" fontId="0" fillId="3" borderId="2" xfId="0" applyFill="1" applyBorder="1"/>
    <xf numFmtId="0" fontId="0" fillId="3" borderId="3" xfId="0" applyFill="1" applyBorder="1"/>
    <xf numFmtId="49" fontId="1" fillId="4" borderId="6" xfId="0" applyNumberFormat="1" applyFont="1" applyFill="1" applyBorder="1"/>
    <xf numFmtId="0" fontId="0" fillId="4" borderId="7" xfId="0" applyFill="1" applyBorder="1"/>
    <xf numFmtId="0" fontId="0" fillId="4" borderId="8" xfId="0" applyFill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topLeftCell="A32" zoomScale="150" zoomScaleNormal="150" zoomScaleSheetLayoutView="120" workbookViewId="0">
      <selection activeCell="L54" sqref="L54"/>
    </sheetView>
  </sheetViews>
  <sheetFormatPr baseColWidth="10" defaultColWidth="8.83203125" defaultRowHeight="15" x14ac:dyDescent="0.2"/>
  <cols>
    <col min="1" max="1" width="14.1640625" customWidth="1"/>
    <col min="2" max="2" width="18.6640625" customWidth="1"/>
    <col min="3" max="3" width="9.33203125" hidden="1" customWidth="1"/>
    <col min="4" max="4" width="0" hidden="1" customWidth="1"/>
    <col min="5" max="5" width="6.83203125" hidden="1" customWidth="1"/>
    <col min="6" max="6" width="7.33203125" hidden="1" customWidth="1"/>
    <col min="7" max="10" width="0" hidden="1" customWidth="1"/>
    <col min="11" max="12" width="10.6640625" bestFit="1" customWidth="1"/>
  </cols>
  <sheetData>
    <row r="1" spans="1:12" x14ac:dyDescent="0.2">
      <c r="A1" s="18" t="s">
        <v>98</v>
      </c>
      <c r="B1" s="19"/>
      <c r="C1" s="19"/>
      <c r="D1" s="19"/>
      <c r="E1" s="19"/>
      <c r="F1" s="19"/>
      <c r="G1" s="19"/>
      <c r="H1" s="20"/>
    </row>
    <row r="2" spans="1:12" x14ac:dyDescent="0.2">
      <c r="A2" s="21" t="s">
        <v>99</v>
      </c>
      <c r="B2" s="22"/>
      <c r="C2" s="22"/>
      <c r="D2" s="22"/>
      <c r="E2" s="22"/>
      <c r="F2" s="22"/>
      <c r="G2" s="22"/>
      <c r="H2" s="23"/>
    </row>
    <row r="3" spans="1:12" x14ac:dyDescent="0.2">
      <c r="A3" s="21" t="s">
        <v>100</v>
      </c>
      <c r="B3" s="22"/>
      <c r="C3" s="22"/>
      <c r="D3" s="22"/>
      <c r="E3" s="22"/>
      <c r="F3" s="22"/>
      <c r="G3" s="22"/>
      <c r="H3" s="23"/>
    </row>
    <row r="4" spans="1:12" x14ac:dyDescent="0.2">
      <c r="A4" s="24" t="s">
        <v>101</v>
      </c>
      <c r="B4" s="25"/>
      <c r="C4" s="25"/>
      <c r="D4" s="25"/>
      <c r="E4" s="25"/>
      <c r="F4" s="25"/>
      <c r="G4" s="25"/>
      <c r="H4" s="26"/>
    </row>
    <row r="5" spans="1:12" ht="16" thickBot="1" x14ac:dyDescent="0.25">
      <c r="A5" s="12" t="s">
        <v>103</v>
      </c>
      <c r="B5" s="13"/>
      <c r="C5" s="13"/>
      <c r="D5" s="13"/>
      <c r="E5" s="13"/>
      <c r="F5" s="13"/>
      <c r="G5" s="13"/>
      <c r="H5" s="14"/>
    </row>
    <row r="6" spans="1:12" x14ac:dyDescent="0.2">
      <c r="A6" s="15" t="s">
        <v>102</v>
      </c>
      <c r="B6" s="16"/>
      <c r="C6" s="16"/>
      <c r="D6" s="16"/>
      <c r="E6" s="16"/>
      <c r="F6" s="16"/>
      <c r="G6" s="16"/>
      <c r="H6" s="17"/>
    </row>
    <row r="7" spans="1:12" x14ac:dyDescent="0.2">
      <c r="A7" s="1" t="s">
        <v>0</v>
      </c>
      <c r="B7" s="1" t="s">
        <v>1</v>
      </c>
      <c r="C7" s="2" t="s">
        <v>94</v>
      </c>
      <c r="D7" s="2" t="s">
        <v>95</v>
      </c>
      <c r="E7" s="4" t="s">
        <v>92</v>
      </c>
      <c r="F7" s="4" t="s">
        <v>93</v>
      </c>
      <c r="G7" s="2" t="s">
        <v>96</v>
      </c>
      <c r="H7" s="2" t="s">
        <v>97</v>
      </c>
      <c r="K7" s="27">
        <v>46294</v>
      </c>
      <c r="L7" s="27">
        <v>46296</v>
      </c>
    </row>
    <row r="8" spans="1:12" x14ac:dyDescent="0.2">
      <c r="A8" s="1" t="s">
        <v>2</v>
      </c>
      <c r="B8" s="1" t="s">
        <v>3</v>
      </c>
      <c r="C8" s="3">
        <v>2.4500000000000002</v>
      </c>
      <c r="D8" s="3">
        <v>1.39</v>
      </c>
      <c r="E8" s="5">
        <v>4.25</v>
      </c>
      <c r="F8" s="5">
        <v>3.8</v>
      </c>
      <c r="G8" s="3">
        <f>(E8+F8)/2</f>
        <v>4.0250000000000004</v>
      </c>
      <c r="H8" s="3">
        <f>C8*0.4+D8*0.3+G8*0.3</f>
        <v>2.6044999999999998</v>
      </c>
      <c r="I8">
        <f>IF(H8&lt;3,1,0)</f>
        <v>1</v>
      </c>
      <c r="J8">
        <v>1</v>
      </c>
      <c r="K8">
        <v>1</v>
      </c>
      <c r="L8">
        <v>1</v>
      </c>
    </row>
    <row r="9" spans="1:12" x14ac:dyDescent="0.2">
      <c r="A9" s="1" t="s">
        <v>4</v>
      </c>
      <c r="B9" s="1" t="s">
        <v>5</v>
      </c>
      <c r="C9" s="3">
        <v>2.67</v>
      </c>
      <c r="D9" s="3">
        <v>1.48</v>
      </c>
      <c r="E9" s="5">
        <v>1</v>
      </c>
      <c r="F9" s="5">
        <v>3.7</v>
      </c>
      <c r="G9" s="3">
        <f t="shared" ref="G9:G53" si="0">(E9+F9)/2</f>
        <v>2.35</v>
      </c>
      <c r="H9" s="3">
        <f t="shared" ref="H9:H53" si="1">C9*0.4+D9*0.3+G9*0.3</f>
        <v>2.2170000000000001</v>
      </c>
      <c r="I9">
        <f t="shared" ref="I9:I53" si="2">IF(H9&lt;3,1,0)</f>
        <v>1</v>
      </c>
      <c r="J9">
        <v>2</v>
      </c>
      <c r="K9">
        <v>0</v>
      </c>
      <c r="L9">
        <v>1</v>
      </c>
    </row>
    <row r="10" spans="1:12" x14ac:dyDescent="0.2">
      <c r="A10" s="1" t="s">
        <v>6</v>
      </c>
      <c r="B10" s="1" t="s">
        <v>7</v>
      </c>
      <c r="C10" s="3">
        <v>4.8</v>
      </c>
      <c r="D10" s="3">
        <v>2.5099999999999998</v>
      </c>
      <c r="E10" s="5">
        <v>2</v>
      </c>
      <c r="F10" s="5">
        <v>5</v>
      </c>
      <c r="G10" s="3">
        <f t="shared" si="0"/>
        <v>3.5</v>
      </c>
      <c r="H10" s="3">
        <f t="shared" si="1"/>
        <v>3.7229999999999999</v>
      </c>
      <c r="I10">
        <f t="shared" si="2"/>
        <v>0</v>
      </c>
      <c r="J10">
        <v>3</v>
      </c>
      <c r="K10">
        <v>1</v>
      </c>
      <c r="L10">
        <v>1</v>
      </c>
    </row>
    <row r="11" spans="1:12" x14ac:dyDescent="0.2">
      <c r="A11" s="1" t="s">
        <v>8</v>
      </c>
      <c r="B11" s="1" t="s">
        <v>9</v>
      </c>
      <c r="C11" s="3">
        <v>4.4000000000000004</v>
      </c>
      <c r="D11" s="3">
        <v>1.92</v>
      </c>
      <c r="E11" s="5">
        <v>0</v>
      </c>
      <c r="F11" s="5">
        <v>2.2999999999999998</v>
      </c>
      <c r="G11" s="3">
        <f t="shared" si="0"/>
        <v>1.1499999999999999</v>
      </c>
      <c r="H11" s="3">
        <f t="shared" si="1"/>
        <v>2.681</v>
      </c>
      <c r="I11">
        <f t="shared" si="2"/>
        <v>1</v>
      </c>
      <c r="J11">
        <v>4</v>
      </c>
      <c r="K11">
        <v>1</v>
      </c>
      <c r="L11">
        <v>1</v>
      </c>
    </row>
    <row r="12" spans="1:12" x14ac:dyDescent="0.2">
      <c r="A12" s="1" t="s">
        <v>10</v>
      </c>
      <c r="B12" s="1" t="s">
        <v>11</v>
      </c>
      <c r="C12" s="3">
        <v>2.7</v>
      </c>
      <c r="D12" s="3">
        <v>0.77</v>
      </c>
      <c r="E12" s="5">
        <v>4.75</v>
      </c>
      <c r="F12" s="5">
        <v>4.5</v>
      </c>
      <c r="G12" s="3">
        <f t="shared" si="0"/>
        <v>4.625</v>
      </c>
      <c r="H12" s="3">
        <f t="shared" si="1"/>
        <v>2.6985000000000001</v>
      </c>
      <c r="I12">
        <f t="shared" si="2"/>
        <v>1</v>
      </c>
      <c r="J12">
        <v>5</v>
      </c>
      <c r="K12">
        <v>1</v>
      </c>
      <c r="L12">
        <v>1</v>
      </c>
    </row>
    <row r="13" spans="1:12" x14ac:dyDescent="0.2">
      <c r="A13" s="1" t="s">
        <v>12</v>
      </c>
      <c r="B13" s="1" t="s">
        <v>13</v>
      </c>
      <c r="C13" s="3">
        <v>2.5299999999999998</v>
      </c>
      <c r="D13" s="3">
        <v>3.86</v>
      </c>
      <c r="E13" s="5">
        <v>4.5</v>
      </c>
      <c r="F13" s="5">
        <v>5</v>
      </c>
      <c r="G13" s="3">
        <f t="shared" si="0"/>
        <v>4.75</v>
      </c>
      <c r="H13" s="3">
        <f t="shared" si="1"/>
        <v>3.5949999999999998</v>
      </c>
      <c r="I13">
        <f t="shared" si="2"/>
        <v>0</v>
      </c>
      <c r="J13">
        <v>6</v>
      </c>
      <c r="K13">
        <v>1</v>
      </c>
      <c r="L13">
        <v>1</v>
      </c>
    </row>
    <row r="14" spans="1:12" x14ac:dyDescent="0.2">
      <c r="A14" s="1" t="s">
        <v>14</v>
      </c>
      <c r="B14" s="1" t="s">
        <v>15</v>
      </c>
      <c r="C14" s="3">
        <v>4</v>
      </c>
      <c r="D14" s="3">
        <v>1.33</v>
      </c>
      <c r="E14" s="5">
        <v>4.25</v>
      </c>
      <c r="F14" s="5">
        <v>5</v>
      </c>
      <c r="G14" s="3">
        <f t="shared" si="0"/>
        <v>4.625</v>
      </c>
      <c r="H14" s="3">
        <f t="shared" si="1"/>
        <v>3.3864999999999998</v>
      </c>
      <c r="I14">
        <f t="shared" si="2"/>
        <v>0</v>
      </c>
      <c r="J14">
        <v>7</v>
      </c>
      <c r="K14">
        <v>1</v>
      </c>
      <c r="L14">
        <v>1</v>
      </c>
    </row>
    <row r="15" spans="1:12" x14ac:dyDescent="0.2">
      <c r="A15" s="1" t="s">
        <v>16</v>
      </c>
      <c r="B15" s="1" t="s">
        <v>17</v>
      </c>
      <c r="C15" s="3">
        <v>3.03</v>
      </c>
      <c r="D15" s="3">
        <v>4.09</v>
      </c>
      <c r="E15" s="5">
        <v>3.75</v>
      </c>
      <c r="F15" s="5">
        <v>2</v>
      </c>
      <c r="G15" s="3">
        <f t="shared" si="0"/>
        <v>2.875</v>
      </c>
      <c r="H15" s="3">
        <f t="shared" si="1"/>
        <v>3.3014999999999999</v>
      </c>
      <c r="I15">
        <f t="shared" si="2"/>
        <v>0</v>
      </c>
      <c r="J15">
        <v>8</v>
      </c>
      <c r="K15">
        <v>0</v>
      </c>
      <c r="L15">
        <v>1</v>
      </c>
    </row>
    <row r="16" spans="1:12" x14ac:dyDescent="0.2">
      <c r="A16" s="1" t="s">
        <v>18</v>
      </c>
      <c r="B16" s="1" t="s">
        <v>19</v>
      </c>
      <c r="C16" s="3">
        <v>4.08</v>
      </c>
      <c r="D16" s="3">
        <v>3.59</v>
      </c>
      <c r="E16" s="5">
        <v>3</v>
      </c>
      <c r="F16" s="5">
        <v>2</v>
      </c>
      <c r="G16" s="3">
        <f t="shared" si="0"/>
        <v>2.5</v>
      </c>
      <c r="H16" s="3">
        <f t="shared" si="1"/>
        <v>3.4590000000000001</v>
      </c>
      <c r="I16">
        <f t="shared" si="2"/>
        <v>0</v>
      </c>
      <c r="J16">
        <v>9</v>
      </c>
      <c r="K16">
        <v>1</v>
      </c>
      <c r="L16">
        <v>1</v>
      </c>
    </row>
    <row r="17" spans="1:12" x14ac:dyDescent="0.2">
      <c r="A17" s="1" t="s">
        <v>20</v>
      </c>
      <c r="B17" s="1" t="s">
        <v>21</v>
      </c>
      <c r="C17" s="3">
        <v>0.2</v>
      </c>
      <c r="D17" s="3">
        <v>3.42</v>
      </c>
      <c r="E17" s="5">
        <v>3</v>
      </c>
      <c r="F17" s="5">
        <v>4.2</v>
      </c>
      <c r="G17" s="3">
        <f t="shared" si="0"/>
        <v>3.6</v>
      </c>
      <c r="H17" s="3">
        <f t="shared" si="1"/>
        <v>2.1859999999999999</v>
      </c>
      <c r="I17">
        <f t="shared" si="2"/>
        <v>1</v>
      </c>
      <c r="J17">
        <v>10</v>
      </c>
      <c r="K17">
        <v>1</v>
      </c>
      <c r="L17">
        <v>1</v>
      </c>
    </row>
    <row r="18" spans="1:12" x14ac:dyDescent="0.2">
      <c r="A18" s="1" t="s">
        <v>22</v>
      </c>
      <c r="B18" s="1" t="s">
        <v>23</v>
      </c>
      <c r="C18" s="3">
        <v>3.47</v>
      </c>
      <c r="D18" s="3">
        <v>0</v>
      </c>
      <c r="E18" s="5">
        <v>2</v>
      </c>
      <c r="F18" s="5">
        <v>4.4000000000000004</v>
      </c>
      <c r="G18" s="3">
        <f t="shared" si="0"/>
        <v>3.2</v>
      </c>
      <c r="H18" s="3">
        <f t="shared" si="1"/>
        <v>2.3479999999999999</v>
      </c>
      <c r="I18">
        <f t="shared" si="2"/>
        <v>1</v>
      </c>
      <c r="J18">
        <v>11</v>
      </c>
      <c r="K18">
        <v>1</v>
      </c>
      <c r="L18">
        <v>1</v>
      </c>
    </row>
    <row r="19" spans="1:12" x14ac:dyDescent="0.2">
      <c r="A19" s="1" t="s">
        <v>24</v>
      </c>
      <c r="B19" s="1" t="s">
        <v>25</v>
      </c>
      <c r="C19" s="3">
        <v>0.5</v>
      </c>
      <c r="D19" s="3">
        <v>2.5499999999999998</v>
      </c>
      <c r="E19" s="5">
        <v>3.5</v>
      </c>
      <c r="F19" s="5">
        <v>3.7</v>
      </c>
      <c r="G19" s="3">
        <f t="shared" si="0"/>
        <v>3.6</v>
      </c>
      <c r="H19" s="3">
        <f t="shared" si="1"/>
        <v>2.0449999999999999</v>
      </c>
      <c r="I19">
        <f t="shared" si="2"/>
        <v>1</v>
      </c>
      <c r="J19">
        <v>12</v>
      </c>
      <c r="K19">
        <v>1</v>
      </c>
      <c r="L19">
        <v>1</v>
      </c>
    </row>
    <row r="20" spans="1:12" x14ac:dyDescent="0.2">
      <c r="A20" s="1" t="s">
        <v>26</v>
      </c>
      <c r="B20" s="1" t="s">
        <v>27</v>
      </c>
      <c r="C20" s="3">
        <v>3.5</v>
      </c>
      <c r="D20" s="3">
        <v>1.85</v>
      </c>
      <c r="E20" s="5">
        <v>3.8</v>
      </c>
      <c r="F20" s="5">
        <v>3</v>
      </c>
      <c r="G20" s="3">
        <f t="shared" si="0"/>
        <v>3.4</v>
      </c>
      <c r="H20" s="3">
        <f t="shared" si="1"/>
        <v>2.9750000000000001</v>
      </c>
      <c r="I20">
        <f t="shared" si="2"/>
        <v>1</v>
      </c>
      <c r="J20">
        <v>13</v>
      </c>
      <c r="K20">
        <v>1</v>
      </c>
      <c r="L20">
        <v>1</v>
      </c>
    </row>
    <row r="21" spans="1:12" x14ac:dyDescent="0.2">
      <c r="A21" s="1" t="s">
        <v>28</v>
      </c>
      <c r="B21" s="1" t="s">
        <v>29</v>
      </c>
      <c r="C21" s="3">
        <v>2.6</v>
      </c>
      <c r="D21" s="3">
        <v>1.42</v>
      </c>
      <c r="E21" s="5">
        <v>3.25</v>
      </c>
      <c r="F21" s="5">
        <v>4.5</v>
      </c>
      <c r="G21" s="3">
        <f t="shared" si="0"/>
        <v>3.875</v>
      </c>
      <c r="H21" s="3">
        <f t="shared" si="1"/>
        <v>2.6284999999999998</v>
      </c>
      <c r="I21">
        <f t="shared" si="2"/>
        <v>1</v>
      </c>
      <c r="J21">
        <v>14</v>
      </c>
      <c r="K21">
        <v>1</v>
      </c>
      <c r="L21">
        <v>1</v>
      </c>
    </row>
    <row r="22" spans="1:12" x14ac:dyDescent="0.2">
      <c r="A22" s="1" t="s">
        <v>30</v>
      </c>
      <c r="B22" s="1" t="s">
        <v>31</v>
      </c>
      <c r="C22" s="3">
        <v>4</v>
      </c>
      <c r="D22" s="3">
        <v>1.46</v>
      </c>
      <c r="E22" s="5">
        <v>3</v>
      </c>
      <c r="F22" s="5">
        <v>2.5</v>
      </c>
      <c r="G22" s="3">
        <f t="shared" si="0"/>
        <v>2.75</v>
      </c>
      <c r="H22" s="3">
        <f t="shared" si="1"/>
        <v>2.8630000000000004</v>
      </c>
      <c r="I22">
        <f t="shared" si="2"/>
        <v>1</v>
      </c>
      <c r="J22">
        <v>15</v>
      </c>
      <c r="K22">
        <v>1</v>
      </c>
      <c r="L22">
        <v>0</v>
      </c>
    </row>
    <row r="23" spans="1:12" x14ac:dyDescent="0.2">
      <c r="A23" s="1" t="s">
        <v>32</v>
      </c>
      <c r="B23" s="1" t="s">
        <v>33</v>
      </c>
      <c r="C23" s="3">
        <v>3.3</v>
      </c>
      <c r="D23" s="3">
        <v>1.85</v>
      </c>
      <c r="E23" s="5">
        <v>3</v>
      </c>
      <c r="F23" s="5">
        <v>2</v>
      </c>
      <c r="G23" s="3">
        <f t="shared" si="0"/>
        <v>2.5</v>
      </c>
      <c r="H23" s="3">
        <f t="shared" si="1"/>
        <v>2.625</v>
      </c>
      <c r="I23">
        <f t="shared" si="2"/>
        <v>1</v>
      </c>
      <c r="J23">
        <v>16</v>
      </c>
      <c r="K23">
        <v>1</v>
      </c>
      <c r="L23">
        <v>1</v>
      </c>
    </row>
    <row r="24" spans="1:12" x14ac:dyDescent="0.2">
      <c r="A24" s="1" t="s">
        <v>34</v>
      </c>
      <c r="B24" s="1" t="s">
        <v>35</v>
      </c>
      <c r="C24" s="3">
        <v>3.2</v>
      </c>
      <c r="D24" s="3">
        <v>3.41</v>
      </c>
      <c r="E24" s="5">
        <v>3.25</v>
      </c>
      <c r="F24" s="5">
        <v>4.4000000000000004</v>
      </c>
      <c r="G24" s="3">
        <f t="shared" si="0"/>
        <v>3.8250000000000002</v>
      </c>
      <c r="H24" s="3">
        <f t="shared" si="1"/>
        <v>3.4504999999999999</v>
      </c>
      <c r="I24">
        <f t="shared" si="2"/>
        <v>0</v>
      </c>
      <c r="J24">
        <v>17</v>
      </c>
      <c r="K24">
        <v>1</v>
      </c>
      <c r="L24">
        <v>1</v>
      </c>
    </row>
    <row r="25" spans="1:12" x14ac:dyDescent="0.2">
      <c r="A25" s="1" t="s">
        <v>20</v>
      </c>
      <c r="B25" s="1" t="s">
        <v>36</v>
      </c>
      <c r="C25" s="3">
        <v>2.4</v>
      </c>
      <c r="D25" s="3">
        <v>2.52</v>
      </c>
      <c r="E25" s="5">
        <v>1.5</v>
      </c>
      <c r="F25" s="5">
        <v>4.4000000000000004</v>
      </c>
      <c r="G25" s="3">
        <f t="shared" si="0"/>
        <v>2.95</v>
      </c>
      <c r="H25" s="3">
        <f t="shared" si="1"/>
        <v>2.601</v>
      </c>
      <c r="I25">
        <f t="shared" si="2"/>
        <v>1</v>
      </c>
      <c r="J25">
        <v>18</v>
      </c>
      <c r="K25">
        <v>1</v>
      </c>
      <c r="L25">
        <v>1</v>
      </c>
    </row>
    <row r="26" spans="1:12" x14ac:dyDescent="0.2">
      <c r="A26" s="1" t="s">
        <v>37</v>
      </c>
      <c r="B26" s="1" t="s">
        <v>38</v>
      </c>
      <c r="C26" s="3">
        <v>3.2</v>
      </c>
      <c r="D26" s="3">
        <v>3.01</v>
      </c>
      <c r="E26" s="5">
        <v>4.25</v>
      </c>
      <c r="F26" s="5">
        <v>2.2999999999999998</v>
      </c>
      <c r="G26" s="3">
        <f t="shared" si="0"/>
        <v>3.2749999999999999</v>
      </c>
      <c r="H26" s="3">
        <f t="shared" si="1"/>
        <v>3.1655000000000002</v>
      </c>
      <c r="I26">
        <f t="shared" si="2"/>
        <v>0</v>
      </c>
      <c r="J26">
        <v>19</v>
      </c>
      <c r="K26">
        <v>1</v>
      </c>
      <c r="L26">
        <v>1</v>
      </c>
    </row>
    <row r="27" spans="1:12" x14ac:dyDescent="0.2">
      <c r="A27" s="1" t="s">
        <v>39</v>
      </c>
      <c r="B27" s="1" t="s">
        <v>40</v>
      </c>
      <c r="C27" s="3">
        <v>2.97</v>
      </c>
      <c r="D27" s="3">
        <v>2.33</v>
      </c>
      <c r="E27" s="5">
        <v>0.5</v>
      </c>
      <c r="F27" s="5">
        <v>4.3</v>
      </c>
      <c r="G27" s="3">
        <f t="shared" si="0"/>
        <v>2.4</v>
      </c>
      <c r="H27" s="3">
        <f t="shared" si="1"/>
        <v>2.6070000000000002</v>
      </c>
      <c r="I27">
        <f t="shared" si="2"/>
        <v>1</v>
      </c>
      <c r="J27">
        <v>20</v>
      </c>
      <c r="K27">
        <v>1</v>
      </c>
      <c r="L27">
        <v>1</v>
      </c>
    </row>
    <row r="28" spans="1:12" x14ac:dyDescent="0.2">
      <c r="A28" s="1" t="s">
        <v>41</v>
      </c>
      <c r="B28" s="1" t="s">
        <v>42</v>
      </c>
      <c r="C28" s="3">
        <v>2.0299999999999998</v>
      </c>
      <c r="D28" s="3">
        <v>3.88</v>
      </c>
      <c r="E28" s="5">
        <v>2</v>
      </c>
      <c r="F28" s="5">
        <v>2.8</v>
      </c>
      <c r="G28" s="3">
        <f t="shared" si="0"/>
        <v>2.4</v>
      </c>
      <c r="H28" s="3">
        <f t="shared" si="1"/>
        <v>2.6959999999999997</v>
      </c>
      <c r="I28">
        <f t="shared" si="2"/>
        <v>1</v>
      </c>
      <c r="J28">
        <v>21</v>
      </c>
      <c r="K28">
        <v>1</v>
      </c>
      <c r="L28">
        <v>1</v>
      </c>
    </row>
    <row r="29" spans="1:12" x14ac:dyDescent="0.2">
      <c r="A29" s="1" t="s">
        <v>43</v>
      </c>
      <c r="B29" s="1" t="s">
        <v>44</v>
      </c>
      <c r="C29" s="3">
        <v>3.5</v>
      </c>
      <c r="D29" s="3">
        <v>1.73</v>
      </c>
      <c r="E29" s="5">
        <v>4.25</v>
      </c>
      <c r="F29" s="5">
        <v>4.4000000000000004</v>
      </c>
      <c r="G29" s="3">
        <f t="shared" si="0"/>
        <v>4.3250000000000002</v>
      </c>
      <c r="H29" s="3">
        <f t="shared" si="1"/>
        <v>3.2164999999999999</v>
      </c>
      <c r="I29">
        <f t="shared" si="2"/>
        <v>0</v>
      </c>
      <c r="J29">
        <v>22</v>
      </c>
      <c r="K29">
        <v>1</v>
      </c>
      <c r="L29">
        <v>1</v>
      </c>
    </row>
    <row r="30" spans="1:12" x14ac:dyDescent="0.2">
      <c r="A30" s="1" t="s">
        <v>45</v>
      </c>
      <c r="B30" s="1" t="s">
        <v>46</v>
      </c>
      <c r="C30" s="3">
        <v>3.93</v>
      </c>
      <c r="D30" s="3">
        <v>1.18</v>
      </c>
      <c r="E30" s="5">
        <v>2</v>
      </c>
      <c r="F30" s="5">
        <v>1.3</v>
      </c>
      <c r="G30" s="3">
        <f t="shared" si="0"/>
        <v>1.65</v>
      </c>
      <c r="H30" s="3">
        <f t="shared" si="1"/>
        <v>2.4210000000000003</v>
      </c>
      <c r="I30">
        <f t="shared" si="2"/>
        <v>1</v>
      </c>
      <c r="J30">
        <v>23</v>
      </c>
      <c r="K30">
        <v>1</v>
      </c>
      <c r="L30">
        <v>1</v>
      </c>
    </row>
    <row r="31" spans="1:12" x14ac:dyDescent="0.2">
      <c r="A31" s="1" t="s">
        <v>47</v>
      </c>
      <c r="B31" s="1" t="s">
        <v>48</v>
      </c>
      <c r="C31" s="3">
        <v>4.4000000000000004</v>
      </c>
      <c r="D31" s="3">
        <v>5</v>
      </c>
      <c r="E31" s="5">
        <v>2.75</v>
      </c>
      <c r="F31" s="5">
        <v>4.5</v>
      </c>
      <c r="G31" s="3">
        <f t="shared" si="0"/>
        <v>3.625</v>
      </c>
      <c r="H31" s="3">
        <f t="shared" si="1"/>
        <v>4.3475000000000001</v>
      </c>
      <c r="I31">
        <f t="shared" si="2"/>
        <v>0</v>
      </c>
      <c r="J31">
        <v>24</v>
      </c>
      <c r="K31">
        <v>1</v>
      </c>
      <c r="L31">
        <v>1</v>
      </c>
    </row>
    <row r="32" spans="1:12" x14ac:dyDescent="0.2">
      <c r="A32" s="1" t="s">
        <v>49</v>
      </c>
      <c r="B32" s="1" t="s">
        <v>50</v>
      </c>
      <c r="C32" s="3">
        <v>3.67</v>
      </c>
      <c r="D32" s="3">
        <v>2.42</v>
      </c>
      <c r="E32" s="5">
        <v>2.75</v>
      </c>
      <c r="F32" s="5">
        <v>2</v>
      </c>
      <c r="G32" s="3">
        <f t="shared" si="0"/>
        <v>2.375</v>
      </c>
      <c r="H32" s="3">
        <f t="shared" si="1"/>
        <v>2.9064999999999999</v>
      </c>
      <c r="I32">
        <f t="shared" si="2"/>
        <v>1</v>
      </c>
      <c r="J32">
        <v>25</v>
      </c>
      <c r="K32">
        <v>1</v>
      </c>
      <c r="L32">
        <v>1</v>
      </c>
    </row>
    <row r="33" spans="1:12" x14ac:dyDescent="0.2">
      <c r="A33" s="1" t="s">
        <v>51</v>
      </c>
      <c r="B33" s="1" t="s">
        <v>52</v>
      </c>
      <c r="C33" s="3">
        <v>0.82</v>
      </c>
      <c r="D33" s="3">
        <v>2.71</v>
      </c>
      <c r="E33" s="5">
        <v>2.75</v>
      </c>
      <c r="F33" s="5">
        <v>4.5</v>
      </c>
      <c r="G33" s="3">
        <f t="shared" si="0"/>
        <v>3.625</v>
      </c>
      <c r="H33" s="3">
        <f t="shared" si="1"/>
        <v>2.2284999999999999</v>
      </c>
      <c r="I33">
        <f t="shared" si="2"/>
        <v>1</v>
      </c>
      <c r="J33">
        <v>26</v>
      </c>
      <c r="K33">
        <v>1</v>
      </c>
      <c r="L33">
        <v>1</v>
      </c>
    </row>
    <row r="34" spans="1:12" x14ac:dyDescent="0.2">
      <c r="A34" s="1" t="s">
        <v>53</v>
      </c>
      <c r="B34" s="1" t="s">
        <v>54</v>
      </c>
      <c r="C34" s="3">
        <v>3.87</v>
      </c>
      <c r="D34" s="3">
        <v>3.38</v>
      </c>
      <c r="E34" s="5">
        <v>1.75</v>
      </c>
      <c r="F34" s="5">
        <v>5</v>
      </c>
      <c r="G34" s="3">
        <f t="shared" si="0"/>
        <v>3.375</v>
      </c>
      <c r="H34" s="3">
        <f t="shared" si="1"/>
        <v>3.5745000000000005</v>
      </c>
      <c r="I34">
        <f t="shared" si="2"/>
        <v>0</v>
      </c>
      <c r="J34">
        <v>27</v>
      </c>
      <c r="K34">
        <v>1</v>
      </c>
      <c r="L34">
        <v>1</v>
      </c>
    </row>
    <row r="35" spans="1:12" x14ac:dyDescent="0.2">
      <c r="A35" s="1" t="s">
        <v>55</v>
      </c>
      <c r="B35" s="1" t="s">
        <v>56</v>
      </c>
      <c r="C35" s="3">
        <v>3.17</v>
      </c>
      <c r="D35" s="3">
        <v>2.39</v>
      </c>
      <c r="E35" s="5">
        <v>2</v>
      </c>
      <c r="F35" s="5">
        <v>3.7</v>
      </c>
      <c r="G35" s="3">
        <f t="shared" si="0"/>
        <v>2.85</v>
      </c>
      <c r="H35" s="3">
        <f t="shared" si="1"/>
        <v>2.84</v>
      </c>
      <c r="I35">
        <f t="shared" si="2"/>
        <v>1</v>
      </c>
      <c r="J35">
        <v>28</v>
      </c>
      <c r="K35">
        <v>1</v>
      </c>
      <c r="L35">
        <v>1</v>
      </c>
    </row>
    <row r="36" spans="1:12" x14ac:dyDescent="0.2">
      <c r="A36" s="1" t="s">
        <v>57</v>
      </c>
      <c r="B36" s="1" t="s">
        <v>58</v>
      </c>
      <c r="C36" s="3">
        <v>3.7</v>
      </c>
      <c r="D36" s="3">
        <v>1.07</v>
      </c>
      <c r="E36" s="5">
        <v>4</v>
      </c>
      <c r="F36" s="5">
        <v>5</v>
      </c>
      <c r="G36" s="3">
        <f t="shared" si="0"/>
        <v>4.5</v>
      </c>
      <c r="H36" s="3">
        <f t="shared" si="1"/>
        <v>3.1509999999999998</v>
      </c>
      <c r="I36">
        <f t="shared" si="2"/>
        <v>0</v>
      </c>
      <c r="J36">
        <v>29</v>
      </c>
      <c r="K36">
        <v>1</v>
      </c>
      <c r="L36">
        <v>0</v>
      </c>
    </row>
    <row r="37" spans="1:12" x14ac:dyDescent="0.2">
      <c r="A37" s="1" t="s">
        <v>59</v>
      </c>
      <c r="B37" s="1" t="s">
        <v>60</v>
      </c>
      <c r="C37" s="3">
        <v>3.5</v>
      </c>
      <c r="D37" s="3">
        <v>1.19</v>
      </c>
      <c r="E37" s="5">
        <v>1.8</v>
      </c>
      <c r="F37" s="5">
        <v>5</v>
      </c>
      <c r="G37" s="3">
        <f t="shared" si="0"/>
        <v>3.4</v>
      </c>
      <c r="H37" s="3">
        <f t="shared" si="1"/>
        <v>2.7770000000000001</v>
      </c>
      <c r="I37">
        <f t="shared" si="2"/>
        <v>1</v>
      </c>
      <c r="J37">
        <v>30</v>
      </c>
      <c r="K37">
        <v>1</v>
      </c>
      <c r="L37">
        <v>1</v>
      </c>
    </row>
    <row r="38" spans="1:12" x14ac:dyDescent="0.2">
      <c r="A38" s="1" t="s">
        <v>61</v>
      </c>
      <c r="B38" s="1" t="s">
        <v>62</v>
      </c>
      <c r="C38" s="3">
        <v>2.6</v>
      </c>
      <c r="D38" s="3">
        <v>1.46</v>
      </c>
      <c r="E38" s="5">
        <v>3</v>
      </c>
      <c r="F38" s="5">
        <v>3.8</v>
      </c>
      <c r="G38" s="3">
        <f t="shared" si="0"/>
        <v>3.4</v>
      </c>
      <c r="H38" s="3">
        <f t="shared" si="1"/>
        <v>2.4980000000000002</v>
      </c>
      <c r="I38">
        <f t="shared" si="2"/>
        <v>1</v>
      </c>
      <c r="J38">
        <v>31</v>
      </c>
      <c r="K38">
        <v>1</v>
      </c>
      <c r="L38">
        <v>1</v>
      </c>
    </row>
    <row r="39" spans="1:12" x14ac:dyDescent="0.2">
      <c r="A39" s="1" t="s">
        <v>63</v>
      </c>
      <c r="B39" s="1" t="s">
        <v>64</v>
      </c>
      <c r="C39" s="3">
        <v>3.27</v>
      </c>
      <c r="D39" s="3">
        <v>2.11</v>
      </c>
      <c r="E39" s="5">
        <v>3</v>
      </c>
      <c r="F39" s="5">
        <v>2.8</v>
      </c>
      <c r="G39" s="3">
        <f t="shared" si="0"/>
        <v>2.9</v>
      </c>
      <c r="H39" s="3">
        <f t="shared" si="1"/>
        <v>2.8109999999999999</v>
      </c>
      <c r="I39">
        <f t="shared" si="2"/>
        <v>1</v>
      </c>
      <c r="J39">
        <v>32</v>
      </c>
      <c r="K39">
        <v>1</v>
      </c>
      <c r="L39">
        <v>1</v>
      </c>
    </row>
    <row r="40" spans="1:12" x14ac:dyDescent="0.2">
      <c r="A40" s="1" t="s">
        <v>65</v>
      </c>
      <c r="B40" s="1" t="s">
        <v>66</v>
      </c>
      <c r="C40" s="3">
        <v>5</v>
      </c>
      <c r="D40" s="3">
        <v>3.52</v>
      </c>
      <c r="E40" s="5">
        <v>3</v>
      </c>
      <c r="F40" s="5">
        <v>4.3</v>
      </c>
      <c r="G40" s="3">
        <f t="shared" si="0"/>
        <v>3.65</v>
      </c>
      <c r="H40" s="3">
        <f t="shared" si="1"/>
        <v>4.1509999999999998</v>
      </c>
      <c r="I40">
        <f t="shared" si="2"/>
        <v>0</v>
      </c>
      <c r="J40">
        <v>33</v>
      </c>
      <c r="K40">
        <v>1</v>
      </c>
      <c r="L40">
        <v>1</v>
      </c>
    </row>
    <row r="41" spans="1:12" x14ac:dyDescent="0.2">
      <c r="A41" s="1" t="s">
        <v>67</v>
      </c>
      <c r="B41" s="1" t="s">
        <v>68</v>
      </c>
      <c r="C41" s="3">
        <v>4.5999999999999996</v>
      </c>
      <c r="D41" s="3">
        <v>3.31</v>
      </c>
      <c r="E41" s="5">
        <v>2.25</v>
      </c>
      <c r="F41" s="5">
        <v>4.5</v>
      </c>
      <c r="G41" s="3">
        <f t="shared" si="0"/>
        <v>3.375</v>
      </c>
      <c r="H41" s="3">
        <f t="shared" si="1"/>
        <v>3.8454999999999995</v>
      </c>
      <c r="I41">
        <f t="shared" si="2"/>
        <v>0</v>
      </c>
      <c r="J41">
        <v>34</v>
      </c>
      <c r="K41">
        <v>1</v>
      </c>
      <c r="L41">
        <v>1</v>
      </c>
    </row>
    <row r="42" spans="1:12" x14ac:dyDescent="0.2">
      <c r="A42" s="1" t="s">
        <v>14</v>
      </c>
      <c r="B42" s="1" t="s">
        <v>69</v>
      </c>
      <c r="C42" s="3">
        <v>3.13</v>
      </c>
      <c r="D42" s="3">
        <v>3.15</v>
      </c>
      <c r="E42" s="5">
        <v>3.25</v>
      </c>
      <c r="F42" s="5">
        <v>4.5</v>
      </c>
      <c r="G42" s="3">
        <f t="shared" si="0"/>
        <v>3.875</v>
      </c>
      <c r="H42" s="3">
        <f t="shared" si="1"/>
        <v>3.3594999999999997</v>
      </c>
      <c r="I42">
        <f t="shared" si="2"/>
        <v>0</v>
      </c>
      <c r="J42">
        <v>35</v>
      </c>
      <c r="K42">
        <v>1</v>
      </c>
      <c r="L42">
        <v>1</v>
      </c>
    </row>
    <row r="43" spans="1:12" x14ac:dyDescent="0.2">
      <c r="A43" s="1" t="s">
        <v>70</v>
      </c>
      <c r="B43" s="1" t="s">
        <v>71</v>
      </c>
      <c r="C43" s="3">
        <v>0</v>
      </c>
      <c r="D43" s="3">
        <v>0</v>
      </c>
      <c r="E43" s="5">
        <v>0</v>
      </c>
      <c r="F43" s="5">
        <v>0</v>
      </c>
      <c r="G43" s="3">
        <f t="shared" si="0"/>
        <v>0</v>
      </c>
      <c r="H43" s="3">
        <f t="shared" si="1"/>
        <v>0</v>
      </c>
      <c r="I43">
        <f t="shared" si="2"/>
        <v>1</v>
      </c>
      <c r="J43">
        <v>36</v>
      </c>
      <c r="K43">
        <v>0</v>
      </c>
      <c r="L43">
        <v>1</v>
      </c>
    </row>
    <row r="44" spans="1:12" x14ac:dyDescent="0.2">
      <c r="A44" s="1" t="s">
        <v>72</v>
      </c>
      <c r="B44" s="1" t="s">
        <v>73</v>
      </c>
      <c r="C44" s="3">
        <v>3.6</v>
      </c>
      <c r="D44" s="3">
        <v>4.49</v>
      </c>
      <c r="E44" s="5">
        <v>4</v>
      </c>
      <c r="F44" s="5">
        <v>1.3</v>
      </c>
      <c r="G44" s="3">
        <f t="shared" si="0"/>
        <v>2.65</v>
      </c>
      <c r="H44" s="3">
        <f t="shared" si="1"/>
        <v>3.5819999999999999</v>
      </c>
      <c r="I44">
        <f t="shared" si="2"/>
        <v>0</v>
      </c>
      <c r="J44">
        <v>37</v>
      </c>
      <c r="K44">
        <v>1</v>
      </c>
      <c r="L44">
        <v>0</v>
      </c>
    </row>
    <row r="45" spans="1:12" x14ac:dyDescent="0.2">
      <c r="A45" s="1" t="s">
        <v>74</v>
      </c>
      <c r="B45" s="1" t="s">
        <v>75</v>
      </c>
      <c r="C45" s="3">
        <v>0.82</v>
      </c>
      <c r="D45" s="3">
        <v>2.2000000000000002</v>
      </c>
      <c r="E45" s="5">
        <v>2</v>
      </c>
      <c r="F45" s="5">
        <v>2.5</v>
      </c>
      <c r="G45" s="3">
        <f t="shared" si="0"/>
        <v>2.25</v>
      </c>
      <c r="H45" s="3">
        <f t="shared" si="1"/>
        <v>1.6629999999999998</v>
      </c>
      <c r="I45">
        <f t="shared" si="2"/>
        <v>1</v>
      </c>
      <c r="J45">
        <v>38</v>
      </c>
      <c r="K45">
        <v>1</v>
      </c>
      <c r="L45">
        <v>1</v>
      </c>
    </row>
    <row r="46" spans="1:12" x14ac:dyDescent="0.2">
      <c r="A46" s="1" t="s">
        <v>76</v>
      </c>
      <c r="B46" s="1" t="s">
        <v>77</v>
      </c>
      <c r="C46" s="3">
        <v>0.87</v>
      </c>
      <c r="D46" s="3">
        <v>1.88</v>
      </c>
      <c r="E46" s="5">
        <v>1.5</v>
      </c>
      <c r="F46" s="5">
        <v>4.2</v>
      </c>
      <c r="G46" s="3">
        <f t="shared" si="0"/>
        <v>2.85</v>
      </c>
      <c r="H46" s="3">
        <f t="shared" si="1"/>
        <v>1.7669999999999999</v>
      </c>
      <c r="I46">
        <f t="shared" si="2"/>
        <v>1</v>
      </c>
      <c r="J46">
        <v>39</v>
      </c>
      <c r="K46">
        <v>1</v>
      </c>
      <c r="L46">
        <v>1</v>
      </c>
    </row>
    <row r="47" spans="1:12" x14ac:dyDescent="0.2">
      <c r="A47" s="1" t="s">
        <v>78</v>
      </c>
      <c r="B47" s="1" t="s">
        <v>79</v>
      </c>
      <c r="C47" s="3">
        <v>0</v>
      </c>
      <c r="D47" s="3">
        <v>0</v>
      </c>
      <c r="E47" s="5">
        <v>2</v>
      </c>
      <c r="F47" s="5">
        <v>0</v>
      </c>
      <c r="G47" s="3">
        <f t="shared" si="0"/>
        <v>1</v>
      </c>
      <c r="H47" s="3">
        <f t="shared" si="1"/>
        <v>0.3</v>
      </c>
      <c r="I47">
        <f t="shared" si="2"/>
        <v>1</v>
      </c>
      <c r="J47">
        <v>40</v>
      </c>
      <c r="K47">
        <v>0</v>
      </c>
      <c r="L47">
        <v>0</v>
      </c>
    </row>
    <row r="48" spans="1:12" x14ac:dyDescent="0.2">
      <c r="A48" s="1" t="s">
        <v>80</v>
      </c>
      <c r="B48" s="1" t="s">
        <v>81</v>
      </c>
      <c r="C48" s="3">
        <v>2.33</v>
      </c>
      <c r="D48" s="3">
        <v>1.37</v>
      </c>
      <c r="E48" s="5">
        <v>2</v>
      </c>
      <c r="F48" s="5">
        <v>3.7</v>
      </c>
      <c r="G48" s="3">
        <f t="shared" si="0"/>
        <v>2.85</v>
      </c>
      <c r="H48" s="3">
        <f t="shared" si="1"/>
        <v>2.198</v>
      </c>
      <c r="I48">
        <f t="shared" si="2"/>
        <v>1</v>
      </c>
      <c r="J48">
        <v>41</v>
      </c>
      <c r="K48">
        <v>1</v>
      </c>
      <c r="L48">
        <v>1</v>
      </c>
    </row>
    <row r="49" spans="1:12" x14ac:dyDescent="0.2">
      <c r="A49" s="1" t="s">
        <v>82</v>
      </c>
      <c r="B49" s="1" t="s">
        <v>83</v>
      </c>
      <c r="C49" s="3">
        <v>2.27</v>
      </c>
      <c r="D49" s="3">
        <v>2.1800000000000002</v>
      </c>
      <c r="E49" s="5">
        <v>3.5</v>
      </c>
      <c r="F49" s="5">
        <v>3.7</v>
      </c>
      <c r="G49" s="3">
        <f t="shared" si="0"/>
        <v>3.6</v>
      </c>
      <c r="H49" s="3">
        <f t="shared" si="1"/>
        <v>2.6420000000000003</v>
      </c>
      <c r="I49">
        <f t="shared" si="2"/>
        <v>1</v>
      </c>
      <c r="J49">
        <v>42</v>
      </c>
      <c r="K49">
        <v>1</v>
      </c>
      <c r="L49">
        <v>1</v>
      </c>
    </row>
    <row r="50" spans="1:12" x14ac:dyDescent="0.2">
      <c r="A50" s="1" t="s">
        <v>84</v>
      </c>
      <c r="B50" s="1" t="s">
        <v>85</v>
      </c>
      <c r="C50" s="3">
        <v>3.87</v>
      </c>
      <c r="D50" s="3">
        <v>1.07</v>
      </c>
      <c r="E50" s="5">
        <v>4</v>
      </c>
      <c r="F50" s="5">
        <v>4.4000000000000004</v>
      </c>
      <c r="G50" s="3">
        <f t="shared" si="0"/>
        <v>4.2</v>
      </c>
      <c r="H50" s="3">
        <f t="shared" si="1"/>
        <v>3.129</v>
      </c>
      <c r="I50">
        <f t="shared" si="2"/>
        <v>0</v>
      </c>
      <c r="J50">
        <v>43</v>
      </c>
      <c r="K50">
        <v>1</v>
      </c>
      <c r="L50">
        <v>1</v>
      </c>
    </row>
    <row r="51" spans="1:12" x14ac:dyDescent="0.2">
      <c r="A51" s="1" t="s">
        <v>86</v>
      </c>
      <c r="B51" s="1" t="s">
        <v>87</v>
      </c>
      <c r="C51" s="3">
        <v>3.9</v>
      </c>
      <c r="D51" s="3">
        <v>1.91</v>
      </c>
      <c r="E51" s="5">
        <v>2.5</v>
      </c>
      <c r="F51" s="5">
        <v>3.7</v>
      </c>
      <c r="G51" s="3">
        <f t="shared" si="0"/>
        <v>3.1</v>
      </c>
      <c r="H51" s="3">
        <f t="shared" si="1"/>
        <v>3.0629999999999997</v>
      </c>
      <c r="I51">
        <f t="shared" si="2"/>
        <v>0</v>
      </c>
      <c r="J51">
        <v>44</v>
      </c>
      <c r="K51">
        <v>1</v>
      </c>
      <c r="L51">
        <v>1</v>
      </c>
    </row>
    <row r="52" spans="1:12" x14ac:dyDescent="0.2">
      <c r="A52" s="1" t="s">
        <v>88</v>
      </c>
      <c r="B52" s="1" t="s">
        <v>89</v>
      </c>
      <c r="C52" s="3">
        <v>3.1</v>
      </c>
      <c r="D52" s="3">
        <v>1.17</v>
      </c>
      <c r="E52" s="5">
        <v>3.75</v>
      </c>
      <c r="F52" s="5">
        <v>4.4000000000000004</v>
      </c>
      <c r="G52" s="3">
        <f t="shared" si="0"/>
        <v>4.0750000000000002</v>
      </c>
      <c r="H52" s="3">
        <f t="shared" si="1"/>
        <v>2.8135000000000003</v>
      </c>
      <c r="I52">
        <f t="shared" si="2"/>
        <v>1</v>
      </c>
      <c r="J52">
        <v>45</v>
      </c>
      <c r="K52">
        <v>1</v>
      </c>
      <c r="L52">
        <v>1</v>
      </c>
    </row>
    <row r="53" spans="1:12" x14ac:dyDescent="0.2">
      <c r="A53" s="1" t="s">
        <v>90</v>
      </c>
      <c r="B53" s="1" t="s">
        <v>91</v>
      </c>
      <c r="C53" s="3">
        <v>4.3499999999999996</v>
      </c>
      <c r="D53" s="3">
        <v>1.58</v>
      </c>
      <c r="E53" s="5">
        <v>0</v>
      </c>
      <c r="F53" s="5">
        <v>1</v>
      </c>
      <c r="G53" s="3">
        <f t="shared" si="0"/>
        <v>0.5</v>
      </c>
      <c r="H53" s="3">
        <f t="shared" si="1"/>
        <v>2.3639999999999999</v>
      </c>
      <c r="I53">
        <f t="shared" si="2"/>
        <v>1</v>
      </c>
      <c r="J53">
        <v>46</v>
      </c>
      <c r="K53">
        <v>1</v>
      </c>
      <c r="L53">
        <v>0</v>
      </c>
    </row>
    <row r="54" spans="1:12" ht="16" thickBot="1" x14ac:dyDescent="0.25">
      <c r="I54">
        <f>SUM(I8:I53)</f>
        <v>29</v>
      </c>
      <c r="J54">
        <f>I54/J53*100</f>
        <v>63.04347826086957</v>
      </c>
    </row>
    <row r="55" spans="1:12" x14ac:dyDescent="0.2">
      <c r="A55" s="6" t="s">
        <v>104</v>
      </c>
      <c r="B55" s="7"/>
      <c r="C55" s="7"/>
      <c r="D55" s="7"/>
      <c r="E55" s="7"/>
      <c r="F55" s="7"/>
      <c r="G55" s="7"/>
      <c r="H55" s="8"/>
    </row>
    <row r="56" spans="1:12" ht="16" thickBot="1" x14ac:dyDescent="0.25">
      <c r="A56" s="9" t="s">
        <v>105</v>
      </c>
      <c r="B56" s="10"/>
      <c r="C56" s="10"/>
      <c r="D56" s="10"/>
      <c r="E56" s="10"/>
      <c r="F56" s="10"/>
      <c r="G56" s="10"/>
      <c r="H56" s="11"/>
    </row>
  </sheetData>
  <mergeCells count="6">
    <mergeCell ref="A5:H5"/>
    <mergeCell ref="A6:H6"/>
    <mergeCell ref="A1:H1"/>
    <mergeCell ref="A2:H2"/>
    <mergeCell ref="A3:H3"/>
    <mergeCell ref="A4:H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Mario Alfonso Morales Rivera</cp:lastModifiedBy>
  <dcterms:created xsi:type="dcterms:W3CDTF">2026-09-15T22:35:58Z</dcterms:created>
  <dcterms:modified xsi:type="dcterms:W3CDTF">2026-10-01T15:13:36Z</dcterms:modified>
  <cp:category/>
</cp:coreProperties>
</file>